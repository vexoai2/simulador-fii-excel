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xoa\Downloads\"/>
    </mc:Choice>
  </mc:AlternateContent>
  <xr:revisionPtr revIDLastSave="0" documentId="13_ncr:1_{6EDDC056-E545-4EF0-A8AE-6246BC3FE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" sheetId="1" r:id="rId1"/>
    <sheet name="Configuracoes" sheetId="2" r:id="rId2"/>
    <sheet name="Apoio" sheetId="3" r:id="rId3"/>
  </sheets>
  <definedNames>
    <definedName name="anos">Simulador!$C$8</definedName>
    <definedName name="aporte">Simulador!$C$7</definedName>
    <definedName name="aporte_sugerido">Configuracoes!$C$9</definedName>
    <definedName name="_xlnm.Print_Area" localSheetId="0">Simulador!$A$1:$K$36</definedName>
    <definedName name="dividendos">Simulador!$C$11</definedName>
    <definedName name="lista_perfis">Apoio!$F$4:$F$6</definedName>
    <definedName name="patrimonio">Simulador!$C$10</definedName>
    <definedName name="pct_sugestao">Configuracoes!$C$8</definedName>
    <definedName name="perfil">Simulador!$G$7</definedName>
    <definedName name="salario">Configuracoes!$C$6</definedName>
    <definedName name="tab_perfis">Apoio!$A$4:$D$21</definedName>
    <definedName name="taxa_mensal">Configuracoes!$C$7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3" l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G6" i="3"/>
  <c r="A6" i="3"/>
  <c r="G5" i="3"/>
  <c r="A5" i="3"/>
  <c r="G4" i="3"/>
  <c r="A4" i="3"/>
  <c r="C9" i="2"/>
  <c r="C25" i="1" s="1"/>
  <c r="C24" i="1"/>
  <c r="C21" i="1"/>
  <c r="D21" i="1" s="1"/>
  <c r="C20" i="1"/>
  <c r="D20" i="1" s="1"/>
  <c r="C19" i="1"/>
  <c r="D19" i="1" s="1"/>
  <c r="C18" i="1"/>
  <c r="D18" i="1" s="1"/>
  <c r="C17" i="1"/>
  <c r="D17" i="1" s="1"/>
  <c r="G15" i="1"/>
  <c r="H15" i="1" s="1"/>
  <c r="F15" i="1"/>
  <c r="F14" i="1"/>
  <c r="G14" i="1" s="1"/>
  <c r="H14" i="1" s="1"/>
  <c r="G13" i="1"/>
  <c r="H13" i="1" s="1"/>
  <c r="F13" i="1"/>
  <c r="G12" i="1"/>
  <c r="H12" i="1" s="1"/>
  <c r="F12" i="1"/>
  <c r="C12" i="1"/>
  <c r="G11" i="1"/>
  <c r="H11" i="1" s="1"/>
  <c r="F11" i="1"/>
  <c r="G10" i="1"/>
  <c r="H10" i="1" s="1"/>
  <c r="F10" i="1"/>
  <c r="C10" i="1"/>
  <c r="C13" i="1" s="1"/>
  <c r="C9" i="1"/>
  <c r="C27" i="1" l="1"/>
  <c r="C26" i="1"/>
  <c r="H16" i="1"/>
  <c r="C11" i="1"/>
  <c r="G16" i="1"/>
</calcChain>
</file>

<file path=xl/sharedStrings.xml><?xml version="1.0" encoding="utf-8"?>
<sst xmlns="http://schemas.openxmlformats.org/spreadsheetml/2006/main" count="84" uniqueCount="46">
  <si>
    <t>VEXO INVEST  ·  Simulador de Fundos Imobiliários</t>
  </si>
  <si>
    <t>1. Suas respostas</t>
  </si>
  <si>
    <t>4. Divisão do aporte por perfil</t>
  </si>
  <si>
    <t>Quanto investir por mês?</t>
  </si>
  <si>
    <t>Perfil do investidor</t>
  </si>
  <si>
    <t>Moderado</t>
  </si>
  <si>
    <t>Por quantos anos?</t>
  </si>
  <si>
    <t>Qual a taxa de rendimento mensal?</t>
  </si>
  <si>
    <t>Tipo de fundo</t>
  </si>
  <si>
    <t>%</t>
  </si>
  <si>
    <t>Valor/mês</t>
  </si>
  <si>
    <t>Quanto de patrimônio vai acumular?</t>
  </si>
  <si>
    <t>Quanto vai receber de dividendos por mês?</t>
  </si>
  <si>
    <t>Total investido do seu bolso</t>
  </si>
  <si>
    <t>Ganho com rendimentos</t>
  </si>
  <si>
    <t>2. Cenários de 2 a 30 anos</t>
  </si>
  <si>
    <t>Prazo (anos)</t>
  </si>
  <si>
    <t>Patrimônio</t>
  </si>
  <si>
    <t>Dividendos/mês</t>
  </si>
  <si>
    <t>Total</t>
  </si>
  <si>
    <t>3. E se eu investir 30% do salário?</t>
  </si>
  <si>
    <t>Aporte sugerido (30% do salário)</t>
  </si>
  <si>
    <t>Patrimônio no mesmo prazo</t>
  </si>
  <si>
    <t>Dividendos por mês</t>
  </si>
  <si>
    <t>Diferença vs. seu aporte</t>
  </si>
  <si>
    <t>⚙  Configurações globais</t>
  </si>
  <si>
    <t>Variáveis (valores de EXEMPLO)</t>
  </si>
  <si>
    <t>Salário mensal</t>
  </si>
  <si>
    <t>Rendimento mensal da carteira (taxa)</t>
  </si>
  <si>
    <t>Sugestão de aporte (% do salário)</t>
  </si>
  <si>
    <t>Aporte sugerido</t>
  </si>
  <si>
    <t>Tabela de apoio — perfil × tipo de fundo (percentuais de exemplo, não é recomendação)</t>
  </si>
  <si>
    <t>Chave (perfil&amp;tipo)</t>
  </si>
  <si>
    <t>Perfil</t>
  </si>
  <si>
    <t>% do aporte</t>
  </si>
  <si>
    <t>Perfis</t>
  </si>
  <si>
    <t>Soma %</t>
  </si>
  <si>
    <t>Tipos de fundo</t>
  </si>
  <si>
    <t>Conservador</t>
  </si>
  <si>
    <t>Papel (CRI/recebíveis)</t>
  </si>
  <si>
    <t>Tijolo - Lajes corporativas</t>
  </si>
  <si>
    <t>Logística</t>
  </si>
  <si>
    <t>Arrojado</t>
  </si>
  <si>
    <t>Shoppings</t>
  </si>
  <si>
    <t>Fundo de Fundos (FoF)</t>
  </si>
  <si>
    <t>Híbrido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</si>
</sst>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b/>
      <sz val="12"/>
      <color rgb="FF1F2A44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2B2B2B"/>
      <name val="Calibri"/>
    </font>
    <font>
      <b/>
      <sz val="11"/>
      <color rgb="FF7A4B00"/>
      <name val="Calibri"/>
    </font>
    <font>
      <b/>
      <sz val="11"/>
      <color rgb="FF1F2A44"/>
      <name val="Calibri"/>
    </font>
    <font>
      <i/>
      <sz val="9"/>
      <color rgb="FF777777"/>
      <name val="Calibri"/>
    </font>
    <font>
      <b/>
      <sz val="18"/>
      <color rgb="FFFFFFFF"/>
      <name val="Calibri"/>
    </font>
    <font>
      <i/>
      <sz val="9"/>
      <color rgb="FF666666"/>
      <name val="Calibri"/>
    </font>
    <font>
      <b/>
      <sz val="11"/>
      <color rgb="FF2B2B2B"/>
      <name val="Calibri"/>
    </font>
    <font>
      <sz val="11"/>
      <color rgb="FF1F2A44"/>
      <name val="Calibri"/>
    </font>
    <font>
      <sz val="10"/>
      <color rgb="FF666666"/>
      <name val="Calibri"/>
    </font>
    <font>
      <b/>
      <sz val="11"/>
      <name val="Calibri"/>
    </font>
    <font>
      <sz val="11"/>
      <color rgb="FF2B2B2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7E9EE"/>
      </patternFill>
    </fill>
    <fill>
      <patternFill patternType="solid">
        <fgColor rgb="FF17A398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6" fillId="5" borderId="1" xfId="0" applyNumberFormat="1" applyFont="1" applyFill="1" applyBorder="1" applyAlignment="1" applyProtection="1">
      <alignment horizontal="center" vertical="center"/>
      <protection locked="0"/>
    </xf>
    <xf numFmtId="10" fontId="6" fillId="5" borderId="1" xfId="0" applyNumberFormat="1" applyFont="1" applyFill="1" applyBorder="1" applyAlignment="1" applyProtection="1">
      <alignment horizontal="center" vertical="center"/>
      <protection locked="0"/>
    </xf>
    <xf numFmtId="9" fontId="6" fillId="5" borderId="1" xfId="0" applyNumberFormat="1" applyFont="1" applyFill="1" applyBorder="1" applyAlignment="1" applyProtection="1">
      <alignment horizontal="center" vertical="center"/>
      <protection locked="0"/>
    </xf>
    <xf numFmtId="164" fontId="6" fillId="5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" fontId="6" fillId="5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vertical="center" indent="1"/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indent="1"/>
      <protection locked="0"/>
    </xf>
    <xf numFmtId="0" fontId="4" fillId="4" borderId="0" xfId="0" applyFont="1" applyFill="1" applyAlignment="1" applyProtection="1">
      <alignment horizontal="left" vertical="center" indent="1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4" fillId="0" borderId="1" xfId="0" applyFont="1" applyBorder="1" applyProtection="1"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vertical="center" indent="1"/>
      <protection locked="0"/>
    </xf>
    <xf numFmtId="0" fontId="8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0" fillId="0" borderId="1" xfId="0" applyBorder="1" applyProtection="1">
      <protection locked="0"/>
    </xf>
    <xf numFmtId="9" fontId="0" fillId="0" borderId="1" xfId="0" applyNumberFormat="1" applyBorder="1" applyProtection="1">
      <protection locked="0"/>
    </xf>
    <xf numFmtId="9" fontId="12" fillId="3" borderId="1" xfId="0" applyNumberFormat="1" applyFont="1" applyFill="1" applyBorder="1" applyAlignment="1" applyProtection="1">
      <alignment horizontal="center" vertical="center"/>
    </xf>
    <xf numFmtId="164" fontId="12" fillId="3" borderId="1" xfId="0" applyNumberFormat="1" applyFont="1" applyFill="1" applyBorder="1" applyAlignment="1" applyProtection="1">
      <alignment horizontal="center" vertical="center"/>
    </xf>
    <xf numFmtId="9" fontId="7" fillId="3" borderId="1" xfId="0" applyNumberFormat="1" applyFont="1" applyFill="1" applyBorder="1" applyAlignment="1" applyProtection="1">
      <alignment horizontal="center" vertical="center"/>
    </xf>
    <xf numFmtId="164" fontId="7" fillId="3" borderId="1" xfId="0" applyNumberFormat="1" applyFont="1" applyFill="1" applyBorder="1" applyAlignment="1" applyProtection="1">
      <alignment horizontal="center" vertical="center"/>
    </xf>
    <xf numFmtId="10" fontId="7" fillId="3" borderId="1" xfId="0" applyNumberFormat="1" applyFont="1" applyFill="1" applyBorder="1" applyAlignment="1" applyProtection="1">
      <alignment horizontal="center" vertical="center"/>
    </xf>
    <xf numFmtId="164" fontId="7" fillId="3" borderId="1" xfId="0" applyNumberFormat="1" applyFont="1" applyFill="1" applyBorder="1" applyAlignment="1" applyProtection="1">
      <alignment horizontal="center" vertical="center"/>
    </xf>
    <xf numFmtId="164" fontId="12" fillId="3" borderId="1" xfId="0" applyNumberFormat="1" applyFont="1" applyFill="1" applyBorder="1" applyAlignment="1" applyProtection="1">
      <alignment horizontal="center" vertical="center"/>
    </xf>
    <xf numFmtId="0" fontId="15" fillId="0" borderId="1" xfId="0" applyFont="1" applyBorder="1" applyAlignment="1" applyProtection="1">
      <alignment vertical="center" indent="1"/>
    </xf>
    <xf numFmtId="9" fontId="0" fillId="3" borderId="1" xfId="0" applyNumberFormat="1" applyFill="1" applyBorder="1" applyProtection="1"/>
    <xf numFmtId="0" fontId="0" fillId="3" borderId="1" xfId="0" applyFill="1" applyBorder="1" applyProtection="1"/>
  </cellXfs>
  <cellStyles count="1">
    <cellStyle name="Normal" xfId="0" builtinId="0"/>
  </cellStyles>
  <dxfs count="1">
    <dxf>
      <fill>
        <patternFill patternType="solid">
          <fgColor rgb="FFF8C6C6"/>
        </patternFill>
      </fill>
    </dxf>
  </dxfs>
  <tableStyles count="1" defaultTableStyle="TableStyleMedium9" defaultPivotStyle="PivotStyleLight16">
    <tableStyle name="Invisible" pivot="0" table="0" count="0" xr9:uid="{F18A2464-3D75-433B-9530-A504E2E3D5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>
                <a:solidFill>
                  <a:srgbClr val="1F4E79"/>
                </a:solidFill>
              </a:defRPr>
            </a:pPr>
            <a:r>
              <a:rPr lang="en-US"/>
              <a:t>Divisão do aporte mensal por tipo de fundo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612903225806454E-2"/>
          <c:y val="0.2036111111111111"/>
          <c:w val="0.41930107526881721"/>
          <c:h val="0.72212962962962968"/>
        </c:manualLayout>
      </c:layout>
      <c:doughnutChart>
        <c:varyColors val="1"/>
        <c:ser>
          <c:idx val="0"/>
          <c:order val="0"/>
          <c:tx>
            <c:strRef>
              <c:f>Simulador!$H$9</c:f>
              <c:strCache>
                <c:ptCount val="1"/>
                <c:pt idx="0">
                  <c:v>Valor/mês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4E79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A2-44FB-AE7C-0A57F396A074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EA2-44FB-AE7C-0A57F396A074}"/>
              </c:ext>
            </c:extLst>
          </c:dPt>
          <c:dPt>
            <c:idx val="2"/>
            <c:bubble3D val="0"/>
            <c:spPr>
              <a:solidFill>
                <a:srgbClr val="5B9BD5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A2-44FB-AE7C-0A57F396A074}"/>
              </c:ext>
            </c:extLst>
          </c:dPt>
          <c:dPt>
            <c:idx val="3"/>
            <c:bubble3D val="0"/>
            <c:spPr>
              <a:solidFill>
                <a:srgbClr val="00A3A1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EA2-44FB-AE7C-0A57F396A074}"/>
              </c:ext>
            </c:extLst>
          </c:dPt>
          <c:dPt>
            <c:idx val="4"/>
            <c:bubble3D val="0"/>
            <c:spPr>
              <a:solidFill>
                <a:srgbClr val="F4B183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A2-44FB-AE7C-0A57F396A074}"/>
              </c:ext>
            </c:extLst>
          </c:dPt>
          <c:dPt>
            <c:idx val="5"/>
            <c:bubble3D val="0"/>
            <c:spPr>
              <a:solidFill>
                <a:srgbClr val="A5A5A5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EA2-44FB-AE7C-0A57F396A0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Simulador!$F$10:$F$15</c:f>
              <c:strCache>
                <c:ptCount val="6"/>
                <c:pt idx="0">
                  <c:v>Papel (CRI/recebíveis)</c:v>
                </c:pt>
                <c:pt idx="1">
                  <c:v>Tijolo - Lajes corporativas</c:v>
                </c:pt>
                <c:pt idx="2">
                  <c:v>Logística</c:v>
                </c:pt>
                <c:pt idx="3">
                  <c:v>Shoppings</c:v>
                </c:pt>
                <c:pt idx="4">
                  <c:v>Fundo de Fundos (FoF)</c:v>
                </c:pt>
                <c:pt idx="5">
                  <c:v>Híbrido</c:v>
                </c:pt>
              </c:strCache>
            </c:strRef>
          </c:cat>
          <c:val>
            <c:numRef>
              <c:f>Simulador!$H$10:$H$15</c:f>
              <c:numCache>
                <c:formatCode>"R$"\ #,##0.00</c:formatCode>
                <c:ptCount val="6"/>
                <c:pt idx="0">
                  <c:v>125</c:v>
                </c:pt>
                <c:pt idx="1">
                  <c:v>75</c:v>
                </c:pt>
                <c:pt idx="2">
                  <c:v>100</c:v>
                </c:pt>
                <c:pt idx="3">
                  <c:v>75</c:v>
                </c:pt>
                <c:pt idx="4">
                  <c:v>75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2-44FB-AE7C-0A57F396A0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51483924731182784"/>
          <c:y val="0.27951882716049381"/>
          <c:w val="0.27349408602150538"/>
          <c:h val="0.42528333333333335"/>
        </c:manualLayout>
      </c:layout>
      <c:overlay val="1"/>
      <c:txPr>
        <a:bodyPr/>
        <a:lstStyle/>
        <a:p>
          <a:pPr>
            <a:defRPr sz="1000">
              <a:solidFill>
                <a:srgbClr val="404040"/>
              </a:solidFill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525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17</xdr:row>
      <xdr:rowOff>0</xdr:rowOff>
    </xdr:from>
    <xdr:ext cx="55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E20C67-5A16-404D-9579-54508B3C3A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ea8ceea-e350-4489-b23c-1e40fbd894b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B2:H27"/>
  <sheetViews>
    <sheetView showGridLines="0" showRowColHeaders="0" tabSelected="1" topLeftCell="A13" workbookViewId="0">
      <selection activeCell="I8" sqref="I8"/>
    </sheetView>
  </sheetViews>
  <sheetFormatPr defaultRowHeight="14.4" x14ac:dyDescent="0.3"/>
  <cols>
    <col min="1" max="1" width="2" style="9" customWidth="1"/>
    <col min="2" max="2" width="42" style="9" customWidth="1"/>
    <col min="3" max="4" width="20" style="9" customWidth="1"/>
    <col min="5" max="5" width="3" style="9" customWidth="1"/>
    <col min="6" max="6" width="30" style="9" customWidth="1"/>
    <col min="7" max="7" width="12" style="9" customWidth="1"/>
    <col min="8" max="8" width="18" style="9" customWidth="1"/>
    <col min="9" max="16384" width="8.88671875" style="9"/>
  </cols>
  <sheetData>
    <row r="2" spans="2:8" ht="24" customHeight="1" x14ac:dyDescent="0.3">
      <c r="B2" s="7" t="s">
        <v>0</v>
      </c>
      <c r="C2" s="8"/>
      <c r="D2" s="8"/>
      <c r="E2" s="8"/>
      <c r="F2" s="8"/>
      <c r="G2" s="8"/>
      <c r="H2" s="8"/>
    </row>
    <row r="3" spans="2:8" ht="24" customHeight="1" x14ac:dyDescent="0.3">
      <c r="B3" s="8"/>
      <c r="C3" s="8"/>
      <c r="D3" s="8"/>
      <c r="E3" s="8"/>
      <c r="F3" s="8"/>
      <c r="G3" s="8"/>
      <c r="H3" s="8"/>
    </row>
    <row r="4" spans="2:8" x14ac:dyDescent="0.3">
      <c r="B4" s="10"/>
      <c r="C4" s="8"/>
      <c r="D4" s="8"/>
      <c r="E4" s="8"/>
      <c r="F4" s="8"/>
      <c r="G4" s="8"/>
      <c r="H4" s="8"/>
    </row>
    <row r="6" spans="2:8" x14ac:dyDescent="0.3">
      <c r="B6" s="11" t="s">
        <v>1</v>
      </c>
      <c r="C6" s="8"/>
      <c r="D6" s="8"/>
      <c r="F6" s="11" t="s">
        <v>2</v>
      </c>
      <c r="G6" s="8"/>
      <c r="H6" s="8"/>
    </row>
    <row r="7" spans="2:8" ht="24" customHeight="1" x14ac:dyDescent="0.3">
      <c r="B7" s="12" t="s">
        <v>3</v>
      </c>
      <c r="C7" s="4">
        <v>500</v>
      </c>
      <c r="D7" s="13"/>
      <c r="F7" s="14" t="s">
        <v>4</v>
      </c>
      <c r="G7" s="5" t="s">
        <v>5</v>
      </c>
      <c r="H7" s="13"/>
    </row>
    <row r="8" spans="2:8" ht="24" customHeight="1" x14ac:dyDescent="0.3">
      <c r="B8" s="12" t="s">
        <v>6</v>
      </c>
      <c r="C8" s="6">
        <v>10</v>
      </c>
      <c r="D8" s="13"/>
    </row>
    <row r="9" spans="2:8" ht="24" customHeight="1" x14ac:dyDescent="0.3">
      <c r="B9" s="12" t="s">
        <v>7</v>
      </c>
      <c r="C9" s="28">
        <f>taxa_mensal</f>
        <v>8.0000000000000002E-3</v>
      </c>
      <c r="D9" s="13"/>
      <c r="F9" s="15" t="s">
        <v>8</v>
      </c>
      <c r="G9" s="15" t="s">
        <v>9</v>
      </c>
      <c r="H9" s="15" t="s">
        <v>10</v>
      </c>
    </row>
    <row r="10" spans="2:8" ht="19.95" customHeight="1" x14ac:dyDescent="0.3">
      <c r="B10" s="14" t="s">
        <v>11</v>
      </c>
      <c r="C10" s="29">
        <f>FV(taxa_mensal,anos*12,-aporte)</f>
        <v>100108.73470495906</v>
      </c>
      <c r="D10" s="13"/>
      <c r="F10" s="31" t="str">
        <f>Apoio!I4</f>
        <v>Papel (CRI/recebíveis)</v>
      </c>
      <c r="G10" s="24">
        <f t="shared" ref="G10:G15" si="0">VLOOKUP(perfil&amp;F10,tab_perfis,4,FALSE)</f>
        <v>0.25</v>
      </c>
      <c r="H10" s="25">
        <f t="shared" ref="H10:H15" si="1">aporte*G10</f>
        <v>125</v>
      </c>
    </row>
    <row r="11" spans="2:8" ht="19.95" customHeight="1" x14ac:dyDescent="0.3">
      <c r="B11" s="14" t="s">
        <v>12</v>
      </c>
      <c r="C11" s="29">
        <f>patrimonio*taxa_mensal</f>
        <v>800.8698776396725</v>
      </c>
      <c r="D11" s="13"/>
      <c r="F11" s="31" t="str">
        <f>Apoio!I5</f>
        <v>Tijolo - Lajes corporativas</v>
      </c>
      <c r="G11" s="24">
        <f t="shared" si="0"/>
        <v>0.15</v>
      </c>
      <c r="H11" s="25">
        <f t="shared" si="1"/>
        <v>75</v>
      </c>
    </row>
    <row r="12" spans="2:8" ht="19.95" customHeight="1" x14ac:dyDescent="0.3">
      <c r="B12" s="16" t="s">
        <v>13</v>
      </c>
      <c r="C12" s="30">
        <f>aporte*anos*12</f>
        <v>60000</v>
      </c>
      <c r="D12" s="8"/>
      <c r="F12" s="31" t="str">
        <f>Apoio!I6</f>
        <v>Logística</v>
      </c>
      <c r="G12" s="24">
        <f t="shared" si="0"/>
        <v>0.2</v>
      </c>
      <c r="H12" s="25">
        <f t="shared" si="1"/>
        <v>100</v>
      </c>
    </row>
    <row r="13" spans="2:8" ht="19.95" customHeight="1" x14ac:dyDescent="0.3">
      <c r="B13" s="16" t="s">
        <v>14</v>
      </c>
      <c r="C13" s="30">
        <f>patrimonio-C12</f>
        <v>40108.734704959061</v>
      </c>
      <c r="D13" s="8"/>
      <c r="F13" s="31" t="str">
        <f>Apoio!I7</f>
        <v>Shoppings</v>
      </c>
      <c r="G13" s="24">
        <f t="shared" si="0"/>
        <v>0.15</v>
      </c>
      <c r="H13" s="25">
        <f t="shared" si="1"/>
        <v>75</v>
      </c>
    </row>
    <row r="14" spans="2:8" ht="19.95" customHeight="1" x14ac:dyDescent="0.3">
      <c r="F14" s="31" t="str">
        <f>Apoio!I8</f>
        <v>Fundo de Fundos (FoF)</v>
      </c>
      <c r="G14" s="24">
        <f t="shared" si="0"/>
        <v>0.15</v>
      </c>
      <c r="H14" s="25">
        <f t="shared" si="1"/>
        <v>75</v>
      </c>
    </row>
    <row r="15" spans="2:8" ht="19.95" customHeight="1" x14ac:dyDescent="0.3">
      <c r="B15" s="11" t="s">
        <v>15</v>
      </c>
      <c r="C15" s="8"/>
      <c r="D15" s="8"/>
      <c r="F15" s="31" t="str">
        <f>Apoio!I9</f>
        <v>Híbrido</v>
      </c>
      <c r="G15" s="24">
        <f t="shared" si="0"/>
        <v>0.1</v>
      </c>
      <c r="H15" s="25">
        <f t="shared" si="1"/>
        <v>50</v>
      </c>
    </row>
    <row r="16" spans="2:8" x14ac:dyDescent="0.3">
      <c r="B16" s="15" t="s">
        <v>16</v>
      </c>
      <c r="C16" s="15" t="s">
        <v>17</v>
      </c>
      <c r="D16" s="15" t="s">
        <v>18</v>
      </c>
      <c r="F16" s="17" t="s">
        <v>19</v>
      </c>
      <c r="G16" s="26">
        <f>SUM(G10:G15)</f>
        <v>1.0000000000000002</v>
      </c>
      <c r="H16" s="27">
        <f>SUM(H10:H15)</f>
        <v>500</v>
      </c>
    </row>
    <row r="17" spans="2:4" x14ac:dyDescent="0.3">
      <c r="B17" s="18">
        <v>2</v>
      </c>
      <c r="C17" s="25">
        <f>FV(taxa_mensal,$B17*12,-aporte)</f>
        <v>13171.577555559783</v>
      </c>
      <c r="D17" s="25">
        <f>C17*taxa_mensal</f>
        <v>105.37262044447827</v>
      </c>
    </row>
    <row r="18" spans="2:4" x14ac:dyDescent="0.3">
      <c r="B18" s="18">
        <v>5</v>
      </c>
      <c r="C18" s="25">
        <f>FV(taxa_mensal,$B18*12,-aporte)</f>
        <v>38311.933415940111</v>
      </c>
      <c r="D18" s="25">
        <f>C18*taxa_mensal</f>
        <v>306.49546732752088</v>
      </c>
    </row>
    <row r="19" spans="2:4" x14ac:dyDescent="0.3">
      <c r="B19" s="18">
        <v>10</v>
      </c>
      <c r="C19" s="25">
        <f>FV(taxa_mensal,$B19*12,-aporte)</f>
        <v>100108.73470495906</v>
      </c>
      <c r="D19" s="25">
        <f>C19*taxa_mensal</f>
        <v>800.8698776396725</v>
      </c>
    </row>
    <row r="20" spans="2:4" x14ac:dyDescent="0.3">
      <c r="B20" s="18">
        <v>20</v>
      </c>
      <c r="C20" s="25">
        <f>FV(taxa_mensal,$B20*12,-aporte)</f>
        <v>360565.60963756416</v>
      </c>
      <c r="D20" s="25">
        <f>C20*taxa_mensal</f>
        <v>2884.5248771005135</v>
      </c>
    </row>
    <row r="21" spans="2:4" x14ac:dyDescent="0.3">
      <c r="B21" s="18">
        <v>30</v>
      </c>
      <c r="C21" s="25">
        <f>FV(taxa_mensal,$B21*12,-aporte)</f>
        <v>1038206.6156855426</v>
      </c>
      <c r="D21" s="25">
        <f>C21*taxa_mensal</f>
        <v>8305.6529254843408</v>
      </c>
    </row>
    <row r="23" spans="2:4" x14ac:dyDescent="0.3">
      <c r="B23" s="11" t="s">
        <v>20</v>
      </c>
      <c r="C23" s="8"/>
      <c r="D23" s="8"/>
    </row>
    <row r="24" spans="2:4" ht="19.95" customHeight="1" x14ac:dyDescent="0.3">
      <c r="B24" s="12" t="s">
        <v>21</v>
      </c>
      <c r="C24" s="30">
        <f>aporte_sugerido</f>
        <v>1200</v>
      </c>
      <c r="D24" s="8"/>
    </row>
    <row r="25" spans="2:4" ht="19.95" customHeight="1" x14ac:dyDescent="0.3">
      <c r="B25" s="12" t="s">
        <v>22</v>
      </c>
      <c r="C25" s="29">
        <f>FV(taxa_mensal,anos*12,-aporte_sugerido)</f>
        <v>240260.96329190175</v>
      </c>
      <c r="D25" s="8"/>
    </row>
    <row r="26" spans="2:4" ht="19.95" customHeight="1" x14ac:dyDescent="0.3">
      <c r="B26" s="12" t="s">
        <v>23</v>
      </c>
      <c r="C26" s="29">
        <f>C25*taxa_mensal</f>
        <v>1922.0877063352141</v>
      </c>
      <c r="D26" s="8"/>
    </row>
    <row r="27" spans="2:4" ht="19.95" customHeight="1" x14ac:dyDescent="0.3">
      <c r="B27" s="12" t="s">
        <v>24</v>
      </c>
      <c r="C27" s="30">
        <f>C25-patrimonio</f>
        <v>140152.22858694269</v>
      </c>
      <c r="D27" s="8"/>
    </row>
  </sheetData>
  <mergeCells count="18">
    <mergeCell ref="B2:H3"/>
    <mergeCell ref="C9:D9"/>
    <mergeCell ref="B15:D15"/>
    <mergeCell ref="C26:D26"/>
    <mergeCell ref="B6:D6"/>
    <mergeCell ref="C8:D8"/>
    <mergeCell ref="B4:H4"/>
    <mergeCell ref="C11:D11"/>
    <mergeCell ref="C25:D25"/>
    <mergeCell ref="C27:D27"/>
    <mergeCell ref="C13:D13"/>
    <mergeCell ref="C12:D12"/>
    <mergeCell ref="F6:H6"/>
    <mergeCell ref="C7:D7"/>
    <mergeCell ref="C10:D10"/>
    <mergeCell ref="C24:D24"/>
    <mergeCell ref="B23:D23"/>
    <mergeCell ref="G7:H7"/>
  </mergeCells>
  <conditionalFormatting sqref="G16">
    <cfRule type="expression" dxfId="0" priority="1">
      <formula>ROUND($G$16,4)&lt;&gt;1</formula>
    </cfRule>
  </conditionalFormatting>
  <dataValidations count="1">
    <dataValidation type="list" errorTitle="Perfil inválido" error="Escolha um perfil da lista" promptTitle="Perfil" prompt="Conservador, Moderado ou Arrojado" sqref="G7" xr:uid="{00000000-0002-0000-0000-000000000000}">
      <formula1>lista_perfis</formula1>
    </dataValidation>
  </dataValidations>
  <pageMargins left="0.75" right="0.75" top="1" bottom="1" header="0.5" footer="0.5"/>
  <pageSetup orientation="landscape"/>
  <ignoredErrors>
    <ignoredError sqref="C9:C10 C11:D13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A398"/>
  </sheetPr>
  <dimension ref="B2:D9"/>
  <sheetViews>
    <sheetView showGridLines="0" workbookViewId="0">
      <selection activeCell="D15" sqref="D15"/>
    </sheetView>
  </sheetViews>
  <sheetFormatPr defaultRowHeight="14.4" x14ac:dyDescent="0.3"/>
  <cols>
    <col min="1" max="1" width="3" style="9" customWidth="1"/>
    <col min="2" max="2" width="40" style="9" customWidth="1"/>
    <col min="3" max="3" width="18" style="9" customWidth="1"/>
    <col min="4" max="4" width="50" style="9" customWidth="1"/>
    <col min="5" max="16384" width="8.88671875" style="9"/>
  </cols>
  <sheetData>
    <row r="2" spans="2:4" x14ac:dyDescent="0.3">
      <c r="B2" s="19" t="s">
        <v>25</v>
      </c>
      <c r="C2" s="8"/>
      <c r="D2" s="8"/>
    </row>
    <row r="3" spans="2:4" x14ac:dyDescent="0.3">
      <c r="B3" s="8"/>
      <c r="C3" s="8"/>
      <c r="D3" s="8"/>
    </row>
    <row r="5" spans="2:4" x14ac:dyDescent="0.3">
      <c r="B5" s="11" t="s">
        <v>26</v>
      </c>
      <c r="C5" s="8"/>
      <c r="D5" s="8"/>
    </row>
    <row r="6" spans="2:4" ht="22.05" customHeight="1" x14ac:dyDescent="0.3">
      <c r="B6" s="12" t="s">
        <v>27</v>
      </c>
      <c r="C6" s="1">
        <v>4000</v>
      </c>
      <c r="D6" s="20"/>
    </row>
    <row r="7" spans="2:4" ht="22.05" customHeight="1" x14ac:dyDescent="0.3">
      <c r="B7" s="12" t="s">
        <v>28</v>
      </c>
      <c r="C7" s="2">
        <v>8.0000000000000002E-3</v>
      </c>
      <c r="D7" s="20"/>
    </row>
    <row r="8" spans="2:4" ht="22.05" customHeight="1" x14ac:dyDescent="0.3">
      <c r="B8" s="12" t="s">
        <v>29</v>
      </c>
      <c r="C8" s="3">
        <v>0.3</v>
      </c>
      <c r="D8" s="20"/>
    </row>
    <row r="9" spans="2:4" ht="22.05" customHeight="1" x14ac:dyDescent="0.3">
      <c r="B9" s="12" t="s">
        <v>30</v>
      </c>
      <c r="C9" s="27">
        <f>salario*pct_sugestao</f>
        <v>1200</v>
      </c>
      <c r="D9" s="20"/>
    </row>
  </sheetData>
  <mergeCells count="2">
    <mergeCell ref="B2:D3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9999"/>
  </sheetPr>
  <dimension ref="A1:I21"/>
  <sheetViews>
    <sheetView workbookViewId="0"/>
  </sheetViews>
  <sheetFormatPr defaultRowHeight="14.4" x14ac:dyDescent="0.3"/>
  <cols>
    <col min="1" max="1" width="42" style="9" customWidth="1"/>
    <col min="2" max="2" width="14" style="9" customWidth="1"/>
    <col min="3" max="3" width="30" style="9" customWidth="1"/>
    <col min="4" max="4" width="12" style="9" customWidth="1"/>
    <col min="5" max="5" width="3" style="9" customWidth="1"/>
    <col min="6" max="6" width="14" style="9" customWidth="1"/>
    <col min="7" max="7" width="10" style="9" customWidth="1"/>
    <col min="8" max="8" width="3" style="9" customWidth="1"/>
    <col min="9" max="9" width="30" style="9" customWidth="1"/>
    <col min="10" max="16384" width="8.88671875" style="9"/>
  </cols>
  <sheetData>
    <row r="1" spans="1:9" ht="15.6" x14ac:dyDescent="0.3">
      <c r="A1" s="21" t="s">
        <v>31</v>
      </c>
    </row>
    <row r="3" spans="1:9" x14ac:dyDescent="0.3">
      <c r="A3" s="15" t="s">
        <v>32</v>
      </c>
      <c r="B3" s="15" t="s">
        <v>33</v>
      </c>
      <c r="C3" s="15" t="s">
        <v>8</v>
      </c>
      <c r="D3" s="15" t="s">
        <v>34</v>
      </c>
      <c r="F3" s="15" t="s">
        <v>35</v>
      </c>
      <c r="G3" s="15" t="s">
        <v>36</v>
      </c>
      <c r="I3" s="15" t="s">
        <v>37</v>
      </c>
    </row>
    <row r="4" spans="1:9" x14ac:dyDescent="0.3">
      <c r="A4" s="33" t="str">
        <f t="shared" ref="A4:A21" si="0">B4&amp;C4</f>
        <v>ConservadorPapel (CRI/recebíveis)</v>
      </c>
      <c r="B4" s="22" t="s">
        <v>38</v>
      </c>
      <c r="C4" s="22" t="s">
        <v>39</v>
      </c>
      <c r="D4" s="23">
        <v>0.35</v>
      </c>
      <c r="F4" s="22" t="s">
        <v>38</v>
      </c>
      <c r="G4" s="32">
        <f>SUMIF($B$4:$B$21,F4,$D$4:$D$21)</f>
        <v>1</v>
      </c>
      <c r="I4" s="22" t="s">
        <v>39</v>
      </c>
    </row>
    <row r="5" spans="1:9" x14ac:dyDescent="0.3">
      <c r="A5" s="33" t="str">
        <f t="shared" si="0"/>
        <v>ConservadorTijolo - Lajes corporativas</v>
      </c>
      <c r="B5" s="22" t="s">
        <v>38</v>
      </c>
      <c r="C5" s="22" t="s">
        <v>40</v>
      </c>
      <c r="D5" s="23">
        <v>0.1</v>
      </c>
      <c r="F5" s="22" t="s">
        <v>5</v>
      </c>
      <c r="G5" s="32">
        <f>SUMIF($B$4:$B$21,F5,$D$4:$D$21)</f>
        <v>1.0000000000000002</v>
      </c>
      <c r="I5" s="22" t="s">
        <v>40</v>
      </c>
    </row>
    <row r="6" spans="1:9" x14ac:dyDescent="0.3">
      <c r="A6" s="33" t="str">
        <f t="shared" si="0"/>
        <v>ConservadorLogística</v>
      </c>
      <c r="B6" s="22" t="s">
        <v>38</v>
      </c>
      <c r="C6" s="22" t="s">
        <v>41</v>
      </c>
      <c r="D6" s="23">
        <v>0.15</v>
      </c>
      <c r="F6" s="22" t="s">
        <v>42</v>
      </c>
      <c r="G6" s="32">
        <f>SUMIF($B$4:$B$21,F6,$D$4:$D$21)</f>
        <v>1</v>
      </c>
      <c r="I6" s="22" t="s">
        <v>41</v>
      </c>
    </row>
    <row r="7" spans="1:9" x14ac:dyDescent="0.3">
      <c r="A7" s="33" t="str">
        <f t="shared" si="0"/>
        <v>ConservadorShoppings</v>
      </c>
      <c r="B7" s="22" t="s">
        <v>38</v>
      </c>
      <c r="C7" s="22" t="s">
        <v>43</v>
      </c>
      <c r="D7" s="23">
        <v>0.05</v>
      </c>
      <c r="I7" s="22" t="s">
        <v>43</v>
      </c>
    </row>
    <row r="8" spans="1:9" x14ac:dyDescent="0.3">
      <c r="A8" s="33" t="str">
        <f t="shared" si="0"/>
        <v>ConservadorFundo de Fundos (FoF)</v>
      </c>
      <c r="B8" s="22" t="s">
        <v>38</v>
      </c>
      <c r="C8" s="22" t="s">
        <v>44</v>
      </c>
      <c r="D8" s="23">
        <v>0.2</v>
      </c>
      <c r="I8" s="22" t="s">
        <v>44</v>
      </c>
    </row>
    <row r="9" spans="1:9" x14ac:dyDescent="0.3">
      <c r="A9" s="33" t="str">
        <f t="shared" si="0"/>
        <v>ConservadorHíbrido</v>
      </c>
      <c r="B9" s="22" t="s">
        <v>38</v>
      </c>
      <c r="C9" s="22" t="s">
        <v>45</v>
      </c>
      <c r="D9" s="23">
        <v>0.15</v>
      </c>
      <c r="I9" s="22" t="s">
        <v>45</v>
      </c>
    </row>
    <row r="10" spans="1:9" x14ac:dyDescent="0.3">
      <c r="A10" s="33" t="str">
        <f t="shared" si="0"/>
        <v>ModeradoPapel (CRI/recebíveis)</v>
      </c>
      <c r="B10" s="22" t="s">
        <v>5</v>
      </c>
      <c r="C10" s="22" t="s">
        <v>39</v>
      </c>
      <c r="D10" s="23">
        <v>0.25</v>
      </c>
    </row>
    <row r="11" spans="1:9" x14ac:dyDescent="0.3">
      <c r="A11" s="33" t="str">
        <f t="shared" si="0"/>
        <v>ModeradoTijolo - Lajes corporativas</v>
      </c>
      <c r="B11" s="22" t="s">
        <v>5</v>
      </c>
      <c r="C11" s="22" t="s">
        <v>40</v>
      </c>
      <c r="D11" s="23">
        <v>0.15</v>
      </c>
    </row>
    <row r="12" spans="1:9" x14ac:dyDescent="0.3">
      <c r="A12" s="33" t="str">
        <f t="shared" si="0"/>
        <v>ModeradoLogística</v>
      </c>
      <c r="B12" s="22" t="s">
        <v>5</v>
      </c>
      <c r="C12" s="22" t="s">
        <v>41</v>
      </c>
      <c r="D12" s="23">
        <v>0.2</v>
      </c>
    </row>
    <row r="13" spans="1:9" x14ac:dyDescent="0.3">
      <c r="A13" s="33" t="str">
        <f t="shared" si="0"/>
        <v>ModeradoShoppings</v>
      </c>
      <c r="B13" s="22" t="s">
        <v>5</v>
      </c>
      <c r="C13" s="22" t="s">
        <v>43</v>
      </c>
      <c r="D13" s="23">
        <v>0.15</v>
      </c>
    </row>
    <row r="14" spans="1:9" x14ac:dyDescent="0.3">
      <c r="A14" s="33" t="str">
        <f t="shared" si="0"/>
        <v>ModeradoFundo de Fundos (FoF)</v>
      </c>
      <c r="B14" s="22" t="s">
        <v>5</v>
      </c>
      <c r="C14" s="22" t="s">
        <v>44</v>
      </c>
      <c r="D14" s="23">
        <v>0.15</v>
      </c>
    </row>
    <row r="15" spans="1:9" x14ac:dyDescent="0.3">
      <c r="A15" s="33" t="str">
        <f t="shared" si="0"/>
        <v>ModeradoHíbrido</v>
      </c>
      <c r="B15" s="22" t="s">
        <v>5</v>
      </c>
      <c r="C15" s="22" t="s">
        <v>45</v>
      </c>
      <c r="D15" s="23">
        <v>0.1</v>
      </c>
    </row>
    <row r="16" spans="1:9" x14ac:dyDescent="0.3">
      <c r="A16" s="33" t="str">
        <f t="shared" si="0"/>
        <v>ArrojadoPapel (CRI/recebíveis)</v>
      </c>
      <c r="B16" s="22" t="s">
        <v>42</v>
      </c>
      <c r="C16" s="22" t="s">
        <v>39</v>
      </c>
      <c r="D16" s="23">
        <v>0.1</v>
      </c>
    </row>
    <row r="17" spans="1:4" x14ac:dyDescent="0.3">
      <c r="A17" s="33" t="str">
        <f t="shared" si="0"/>
        <v>ArrojadoTijolo - Lajes corporativas</v>
      </c>
      <c r="B17" s="22" t="s">
        <v>42</v>
      </c>
      <c r="C17" s="22" t="s">
        <v>40</v>
      </c>
      <c r="D17" s="23">
        <v>0.25</v>
      </c>
    </row>
    <row r="18" spans="1:4" x14ac:dyDescent="0.3">
      <c r="A18" s="33" t="str">
        <f t="shared" si="0"/>
        <v>ArrojadoLogística</v>
      </c>
      <c r="B18" s="22" t="s">
        <v>42</v>
      </c>
      <c r="C18" s="22" t="s">
        <v>41</v>
      </c>
      <c r="D18" s="23">
        <v>0.2</v>
      </c>
    </row>
    <row r="19" spans="1:4" x14ac:dyDescent="0.3">
      <c r="A19" s="33" t="str">
        <f t="shared" si="0"/>
        <v>ArrojadoShoppings</v>
      </c>
      <c r="B19" s="22" t="s">
        <v>42</v>
      </c>
      <c r="C19" s="22" t="s">
        <v>43</v>
      </c>
      <c r="D19" s="23">
        <v>0.25</v>
      </c>
    </row>
    <row r="20" spans="1:4" x14ac:dyDescent="0.3">
      <c r="A20" s="33" t="str">
        <f t="shared" si="0"/>
        <v>ArrojadoFundo de Fundos (FoF)</v>
      </c>
      <c r="B20" s="22" t="s">
        <v>42</v>
      </c>
      <c r="C20" s="22" t="s">
        <v>44</v>
      </c>
      <c r="D20" s="23">
        <v>0.1</v>
      </c>
    </row>
    <row r="21" spans="1:4" x14ac:dyDescent="0.3">
      <c r="A21" s="33" t="str">
        <f t="shared" si="0"/>
        <v>ArrojadoHíbrido</v>
      </c>
      <c r="B21" s="22" t="s">
        <v>42</v>
      </c>
      <c r="C21" s="22" t="s">
        <v>45</v>
      </c>
      <c r="D21" s="23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Simulador</vt:lpstr>
      <vt:lpstr>Configuracoes</vt:lpstr>
      <vt:lpstr>Apoio</vt:lpstr>
      <vt:lpstr>anos</vt:lpstr>
      <vt:lpstr>aporte</vt:lpstr>
      <vt:lpstr>aporte_sugerido</vt:lpstr>
      <vt:lpstr>Simulador!Area_de_impressao</vt:lpstr>
      <vt:lpstr>dividendos</vt:lpstr>
      <vt:lpstr>lista_perfis</vt:lpstr>
      <vt:lpstr>patrimonio</vt:lpstr>
      <vt:lpstr>pct_sugestao</vt:lpstr>
      <vt:lpstr>perfil</vt:lpstr>
      <vt:lpstr>salario</vt:lpstr>
      <vt:lpstr>tab_perfis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Vexo Ai2</cp:lastModifiedBy>
  <dcterms:created xsi:type="dcterms:W3CDTF">2026-10-07T13:34:10Z</dcterms:created>
  <dcterms:modified xsi:type="dcterms:W3CDTF">2026-10-12T14:44:16Z</dcterms:modified>
</cp:coreProperties>
</file>